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b48f7ea6fd47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_Missao" sheetId="1" r:id="R36da0439db8141f6"/>
    <x:sheet xmlns:r="http://schemas.openxmlformats.org/officeDocument/2006/relationships" name="Dicionarios" sheetId="2" r:id="Rd9b596d6045e4f26"/>
    <x:sheet xmlns:r="http://schemas.openxmlformats.org/officeDocument/2006/relationships" name="Instrucoes" sheetId="3" r:id="R63564bace4fd402a"/>
    <x:sheet xmlns:r="http://schemas.openxmlformats.org/officeDocument/2006/relationships" name="Resumo_Base" sheetId="4" r:id="Rdb83111d766846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.0"/>
    <x:numFmt numFmtId="202" formatCode="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E3A8A"/>
      </x:patternFill>
    </x:fill>
    <x:fill>
      <x:patternFill patternType="solid">
        <x:fgColor rgb="0F766E"/>
      </x:patternFill>
    </x:fill>
    <x:fill>
      <x:patternFill patternType="solid">
        <x:fgColor rgb="4C1D95"/>
      </x:patternFill>
    </x:fill>
    <x:fill>
      <x:patternFill patternType="solid">
        <x:fgColor rgb="1E40AF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991B1B"/>
      </x:font>
      <x:fill>
        <x:patternFill patternType="solid">
          <x:bgColor rgb="FECACA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a084ade52a41f0" /><Relationship Type="http://schemas.openxmlformats.org/officeDocument/2006/relationships/theme" Target="/xl/theme/theme1.xml" Id="R4192baabeddd401a" /><Relationship Type="http://schemas.openxmlformats.org/officeDocument/2006/relationships/sharedStrings" Target="/xl/sharedStrings.xml" Id="R8c3022f258784738" /><Relationship Type="http://schemas.openxmlformats.org/officeDocument/2006/relationships/worksheet" Target="/xl/worksheets/sheet1.xml" Id="R36da0439db8141f6" /><Relationship Type="http://schemas.openxmlformats.org/officeDocument/2006/relationships/worksheet" Target="/xl/worksheets/sheet2.xml" Id="Rd9b596d6045e4f26" /><Relationship Type="http://schemas.openxmlformats.org/officeDocument/2006/relationships/worksheet" Target="/xl/worksheets/sheet3.xml" Id="R63564bace4fd402a" /><Relationship Type="http://schemas.openxmlformats.org/officeDocument/2006/relationships/worksheet" Target="/xl/worksheets/sheet4.xml" Id="Rdb83111d766846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a19822a3e4e499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Resumo da Base Orion-X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Formula/Valor na base</c:v>
          </c:tx>
          <c:cat>
            <c:strRef>
              <c:f>'Resumo_Base'!$A$2:$A$7</c:f>
              <c:strCache>
                <c:ptCount val="0"/>
              </c:strCache>
            </c:strRef>
          </c:cat>
          <c:val>
            <c:numRef>
              <c:f>'Resumo_Base'!$B$2:$B$7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19822a3e4e499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elaDadosMissao" displayName="TabelaDadosMissao" ref="A1:M21" headerRowCount="1">
  <x:tableColumns count="13">
    <x:tableColumn id="1" name="registro_id"/>
    <x:tableColumn id="2" name="data_hora"/>
    <x:tableColumn id="3" name="modulo"/>
    <x:tableColumn id="4" name="sensor_id"/>
    <x:tableColumn id="5" name="temperatura_c"/>
    <x:tableColumn id="6" name="energia_pct"/>
    <x:tableColumn id="7" name="oxigenio_pct"/>
    <x:tableColumn id="8" name="radiacao_msv"/>
    <x:tableColumn id="9" name="comunicacao_pct"/>
    <x:tableColumn id="10" name="status_nave"/>
    <x:tableColumn id="11" name="latitude"/>
    <x:tableColumn id="12" name="longitude"/>
    <x:tableColumn id="13" name="altitude_km"/>
  </x:tableColumns>
  <x:tableStyleInfo name="TableStyleMedium2" showRowStripes="1"/>
</x:table>
</file>

<file path=xl/tables/table2.xml><?xml version="1.0" encoding="utf-8"?>
<x:table xmlns:x="http://schemas.openxmlformats.org/spreadsheetml/2006/main" id="2" name="TabelaSensores" displayName="TabelaSensores" ref="A1:D6" headerRowCount="1">
  <x:tableColumns count="4">
    <x:tableColumn id="1" name="sensor_id"/>
    <x:tableColumn id="2" name="tipo"/>
    <x:tableColumn id="3" name="modulo"/>
    <x:tableColumn id="4" name="unidade"/>
  </x:tableColumns>
  <x:tableStyleInfo name="TableStyleMedium2" showRowStripes="1"/>
</x:table>
</file>

<file path=xl/tables/table3.xml><?xml version="1.0" encoding="utf-8"?>
<x:table xmlns:x="http://schemas.openxmlformats.org/spreadsheetml/2006/main" id="3" name="TabelaModulos" displayName="TabelaModulos" ref="F1:G5" headerRowCount="1">
  <x:tableColumns count="2">
    <x:tableColumn id="1" name="codigo_modulo"/>
    <x:tableColumn id="2" name="descrica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81dc9f57184a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88e97b27b7344bb" /><Relationship Type="http://schemas.openxmlformats.org/officeDocument/2006/relationships/table" Target="/xl/tables/table3.xml" Id="Ra7c307aa40674d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26f972e05eef4376" /></Relationships>
</file>

<file path=xl/worksheets/sheet1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11.039999961853027" hidden="0" customWidth="1"/>
    <x:col min="3" max="3" width="13.0600004196167" hidden="0" customWidth="1"/>
    <x:col min="4" max="4" width="10.5" hidden="0" customWidth="1"/>
    <x:col min="5" max="5" width="14.670000076293945" hidden="0" customWidth="1"/>
    <x:col min="6" max="6" width="12.25" hidden="0" customWidth="1"/>
    <x:col min="7" max="7" width="13.0600004196167" hidden="0" customWidth="1"/>
    <x:col min="8" max="8" width="13.859999656677246" hidden="0" customWidth="1"/>
    <x:col min="9" max="9" width="16.81999969482422" hidden="0" customWidth="1"/>
    <x:col min="10" max="10" width="12.380000114440918" hidden="0" customWidth="1"/>
    <x:col min="11" max="11" width="9.020000457763672" hidden="0" customWidth="1"/>
    <x:col min="12" max="12" width="10.5" hidden="0" customWidth="1"/>
    <x:col min="13" max="13" width="12.520000457763672" hidden="0" customWidth="1"/>
  </x:cols>
  <x:sheetData>
    <x:row r="1">
      <x:c r="A1" s="5" t="str">
        <x:v>registro_id</x:v>
      </x:c>
      <x:c r="B1" s="5" t="str">
        <x:v>data_hora</x:v>
      </x:c>
      <x:c r="C1" s="5" t="str">
        <x:v>modulo</x:v>
      </x:c>
      <x:c r="D1" s="5" t="str">
        <x:v>sensor_id</x:v>
      </x:c>
      <x:c r="E1" s="5" t="str">
        <x:v>temperatura_c</x:v>
      </x:c>
      <x:c r="F1" s="5" t="str">
        <x:v>energia_pct</x:v>
      </x:c>
      <x:c r="G1" s="5" t="str">
        <x:v>oxigenio_pct</x:v>
      </x:c>
      <x:c r="H1" s="5" t="str">
        <x:v>radiacao_msv</x:v>
      </x:c>
      <x:c r="I1" s="5" t="str">
        <x:v>comunicacao_pct</x:v>
      </x:c>
      <x:c r="J1" s="5" t="str">
        <x:v>status_nave</x:v>
      </x:c>
      <x:c r="K1" s="5" t="str">
        <x:v>latitude</x:v>
      </x:c>
      <x:c r="L1" s="5" t="str">
        <x:v>longitude</x:v>
      </x:c>
      <x:c r="M1" s="5" t="str">
        <x:v>altitude_km</x:v>
      </x:c>
    </x:row>
    <x:row r="2">
      <x:c r="A2" t="n">
        <x:v>1</x:v>
      </x:c>
      <x:c r="B2" s="10" t="n">
        <x:v>46174.333333333336</x:v>
      </x:c>
      <x:c r="C2" t="str">
        <x:v>Habitat</x:v>
      </x:c>
      <x:c r="D2" t="str">
        <x:v>SEN-001</x:v>
      </x:c>
      <x:c r="E2" s="12" t="n">
        <x:v>24.5</x:v>
      </x:c>
      <x:c r="F2" s="14" t="n">
        <x:v>88</x:v>
      </x:c>
      <x:c r="G2" s="14" t="n">
        <x:v>96</x:v>
      </x:c>
      <x:c r="H2" s="14" t="n">
        <x:v>0.28</x:v>
      </x:c>
      <x:c r="I2" s="14" t="n">
        <x:v>97</x:v>
      </x:c>
      <x:c r="J2" t="str">
        <x:v>Operacional</x:v>
      </x:c>
      <x:c r="K2" t="n">
        <x:v>-23.540499999999998</x:v>
      </x:c>
      <x:c r="L2" t="n">
        <x:v>-46.643299999999996</x:v>
      </x:c>
      <x:c r="M2" t="n">
        <x:v>408.5</x:v>
      </x:c>
    </x:row>
    <x:row r="3">
      <x:c r="A3" t="n">
        <x:v>2</x:v>
      </x:c>
      <x:c r="B3" s="10" t="n">
        <x:v>46174.458333333336</x:v>
      </x:c>
      <x:c r="C3" t="str">
        <x:v>Painel Solar</x:v>
      </x:c>
      <x:c r="D3" t="str">
        <x:v>SEN-002</x:v>
      </x:c>
      <x:c r="E3" s="12" t="n">
        <x:v>25.1</x:v>
      </x:c>
      <x:c r="F3" s="14" t="n">
        <x:v>84</x:v>
      </x:c>
      <x:c r="G3" s="14" t="n">
        <x:v>95</x:v>
      </x:c>
      <x:c r="H3" s="14" t="n">
        <x:v>0.31</x:v>
      </x:c>
      <x:c r="I3" s="14" t="n">
        <x:v>96</x:v>
      </x:c>
      <x:c r="J3" t="str">
        <x:v>Operacional</x:v>
      </x:c>
      <x:c r="K3" t="n">
        <x:v>-23.5305</x:v>
      </x:c>
      <x:c r="L3" t="n">
        <x:v>-46.6533</x:v>
      </x:c>
      <x:c r="M3" t="n">
        <x:v>409</x:v>
      </x:c>
    </x:row>
    <x:row r="4">
      <x:c r="A4" t="n">
        <x:v>3</x:v>
      </x:c>
      <x:c r="B4" s="10" t="n">
        <x:v>46174.583333333336</x:v>
      </x:c>
      <x:c r="C4" t="str">
        <x:v>Suporte de Vida</x:v>
      </x:c>
      <x:c r="D4" t="str">
        <x:v>SEN-003</x:v>
      </x:c>
      <x:c r="E4" s="12" t="n">
        <x:v>26.2</x:v>
      </x:c>
      <x:c r="F4" s="14" t="n">
        <x:v>79</x:v>
      </x:c>
      <x:c r="G4" s="14" t="n">
        <x:v>94</x:v>
      </x:c>
      <x:c r="H4" s="14" t="n">
        <x:v>0.35</x:v>
      </x:c>
      <x:c r="I4" s="14" t="n">
        <x:v>93</x:v>
      </x:c>
      <x:c r="J4" t="str">
        <x:v>Operacional</x:v>
      </x:c>
      <x:c r="K4" t="n">
        <x:v>-23.5205</x:v>
      </x:c>
      <x:c r="L4" t="n">
        <x:v>-46.6633</x:v>
      </x:c>
      <x:c r="M4" t="n">
        <x:v>409.5</x:v>
      </x:c>
    </x:row>
    <x:row r="5">
      <x:c r="A5" t="n">
        <x:v>4</x:v>
      </x:c>
      <x:c r="B5" s="10" t="n">
        <x:v>46174.708333333336</x:v>
      </x:c>
      <x:c r="C5" t="str">
        <x:v>Escudo Externo</x:v>
      </x:c>
      <x:c r="D5" t="str">
        <x:v>SEN-004</x:v>
      </x:c>
      <x:c r="E5" s="12" t="n">
        <x:v>29.8</x:v>
      </x:c>
      <x:c r="F5" s="14" t="n">
        <x:v>68</x:v>
      </x:c>
      <x:c r="G5" s="14" t="n">
        <x:v>91</x:v>
      </x:c>
      <x:c r="H5" s="14" t="n">
        <x:v>0.47</x:v>
      </x:c>
      <x:c r="I5" s="14" t="n">
        <x:v>88</x:v>
      </x:c>
      <x:c r="J5" t="str">
        <x:v>Operacional</x:v>
      </x:c>
      <x:c r="K5" t="n">
        <x:v>-23.5105</x:v>
      </x:c>
      <x:c r="L5" t="n">
        <x:v>-46.6733</x:v>
      </x:c>
      <x:c r="M5" t="n">
        <x:v>410</x:v>
      </x:c>
    </x:row>
    <x:row r="6">
      <x:c r="A6" t="n">
        <x:v>5</x:v>
      </x:c>
      <x:c r="B6" s="10" t="n">
        <x:v>46174.833333333336</x:v>
      </x:c>
      <x:c r="C6" t="str">
        <x:v>Antena Principal</x:v>
      </x:c>
      <x:c r="D6" t="str">
        <x:v>SEN-005</x:v>
      </x:c>
      <x:c r="E6" s="12" t="n">
        <x:v>31.5</x:v>
      </x:c>
      <x:c r="F6" s="14" t="n">
        <x:v>55</x:v>
      </x:c>
      <x:c r="G6" s="14" t="n">
        <x:v>86</x:v>
      </x:c>
      <x:c r="H6" s="14" t="n">
        <x:v>0.76</x:v>
      </x:c>
      <x:c r="I6" s="14" t="n">
        <x:v>82</x:v>
      </x:c>
      <x:c r="J6" t="str">
        <x:v>Operacional</x:v>
      </x:c>
      <x:c r="K6" t="n">
        <x:v>-23.5005</x:v>
      </x:c>
      <x:c r="L6" t="n">
        <x:v>-46.683299999999996</x:v>
      </x:c>
      <x:c r="M6" t="n">
        <x:v>410.5</x:v>
      </x:c>
    </x:row>
    <x:row r="7">
      <x:c r="A7" t="n">
        <x:v>6</x:v>
      </x:c>
      <x:c r="B7" s="10" t="n">
        <x:v>46174.958333333336</x:v>
      </x:c>
      <x:c r="C7" t="str">
        <x:v>Navegacao</x:v>
      </x:c>
      <x:c r="D7" t="str">
        <x:v>SEN-001</x:v>
      </x:c>
      <x:c r="E7" s="12" t="n">
        <x:v>33.2</x:v>
      </x:c>
      <x:c r="F7" s="14" t="n">
        <x:v>48</x:v>
      </x:c>
      <x:c r="G7" s="14" t="n">
        <x:v>81</x:v>
      </x:c>
      <x:c r="H7" s="14" t="n">
        <x:v>0.83</x:v>
      </x:c>
      <x:c r="I7" s="14" t="n">
        <x:v>78</x:v>
      </x:c>
      <x:c r="J7" t="str">
        <x:v>Atencao</x:v>
      </x:c>
      <x:c r="K7" t="n">
        <x:v>-23.4905</x:v>
      </x:c>
      <x:c r="L7" t="n">
        <x:v>-46.6933</x:v>
      </x:c>
      <x:c r="M7" t="n">
        <x:v>411</x:v>
      </x:c>
    </x:row>
    <x:row r="8">
      <x:c r="A8" t="n">
        <x:v>7</x:v>
      </x:c>
      <x:c r="B8" s="10" t="n">
        <x:v>46175.083333333336</x:v>
      </x:c>
      <x:c r="C8" t="str">
        <x:v>Habitat</x:v>
      </x:c>
      <x:c r="D8" t="str">
        <x:v>SEN-002</x:v>
      </x:c>
      <x:c r="E8" s="12" t="n">
        <x:v>34.9</x:v>
      </x:c>
      <x:c r="F8" s="14" t="n">
        <x:v>41</x:v>
      </x:c>
      <x:c r="G8" s="14" t="n">
        <x:v>78</x:v>
      </x:c>
      <x:c r="H8" s="14" t="n">
        <x:v>0.91</x:v>
      </x:c>
      <x:c r="I8" s="14" t="n">
        <x:v>72</x:v>
      </x:c>
      <x:c r="J8" t="str">
        <x:v>Atencao</x:v>
      </x:c>
      <x:c r="K8" t="n">
        <x:v>-23.4805</x:v>
      </x:c>
      <x:c r="L8" t="n">
        <x:v>-46.7033</x:v>
      </x:c>
      <x:c r="M8" t="n">
        <x:v>411.5</x:v>
      </x:c>
    </x:row>
    <x:row r="9">
      <x:c r="A9" t="n">
        <x:v>8</x:v>
      </x:c>
      <x:c r="B9" s="10" t="n">
        <x:v>46175.208333333336</x:v>
      </x:c>
      <x:c r="C9" t="str">
        <x:v>Painel Solar</x:v>
      </x:c>
      <x:c r="D9" t="str">
        <x:v>SEN-003</x:v>
      </x:c>
      <x:c r="E9" s="12" t="n">
        <x:v>36.4</x:v>
      </x:c>
      <x:c r="F9" s="14" t="n">
        <x:v>34</x:v>
      </x:c>
      <x:c r="G9" s="14" t="n">
        <x:v>75</x:v>
      </x:c>
      <x:c r="H9" s="14" t="n">
        <x:v>1.05</x:v>
      </x:c>
      <x:c r="I9" s="14" t="n">
        <x:v>69</x:v>
      </x:c>
      <x:c r="J9" t="str">
        <x:v>Atencao</x:v>
      </x:c>
      <x:c r="K9" t="n">
        <x:v>-23.4705</x:v>
      </x:c>
      <x:c r="L9" t="n">
        <x:v>-46.7133</x:v>
      </x:c>
      <x:c r="M9" t="n">
        <x:v>412</x:v>
      </x:c>
    </x:row>
    <x:row r="10">
      <x:c r="A10" t="n">
        <x:v>9</x:v>
      </x:c>
      <x:c r="B10" s="10" t="n">
        <x:v>46175.333333333336</x:v>
      </x:c>
      <x:c r="C10" t="str">
        <x:v>Suporte de Vida</x:v>
      </x:c>
      <x:c r="D10" t="str">
        <x:v>SEN-004</x:v>
      </x:c>
      <x:c r="E10" s="12" t="n">
        <x:v>38.7</x:v>
      </x:c>
      <x:c r="F10" s="14" t="n">
        <x:v>29</x:v>
      </x:c>
      <x:c r="G10" s="14" t="n">
        <x:v>68</x:v>
      </x:c>
      <x:c r="H10" s="14" t="n">
        <x:v>1.28</x:v>
      </x:c>
      <x:c r="I10" s="14" t="n">
        <x:v>58</x:v>
      </x:c>
      <x:c r="J10" t="str">
        <x:v>Critico</x:v>
      </x:c>
      <x:c r="K10" t="n">
        <x:v>-23.4605</x:v>
      </x:c>
      <x:c r="L10" t="n">
        <x:v>-46.7233</x:v>
      </x:c>
      <x:c r="M10" t="n">
        <x:v>412.5</x:v>
      </x:c>
    </x:row>
    <x:row r="11">
      <x:c r="A11" t="n">
        <x:v>10</x:v>
      </x:c>
      <x:c r="B11" s="10" t="n">
        <x:v>46175.458333333336</x:v>
      </x:c>
      <x:c r="C11" t="str">
        <x:v>Escudo Externo</x:v>
      </x:c>
      <x:c r="D11" t="str">
        <x:v>SEN-005</x:v>
      </x:c>
      <x:c r="E11" s="12" t="n">
        <x:v>30.2</x:v>
      </x:c>
      <x:c r="F11" s="14" t="n">
        <x:v>62</x:v>
      </x:c>
      <x:c r="G11" s="14" t="n">
        <x:v>89</x:v>
      </x:c>
      <x:c r="H11" s="14" t="n">
        <x:v>0.58</x:v>
      </x:c>
      <x:c r="I11" s="14" t="n">
        <x:v>85</x:v>
      </x:c>
      <x:c r="J11" t="str">
        <x:v>Operacional</x:v>
      </x:c>
      <x:c r="K11" t="n">
        <x:v>-23.450499999999998</x:v>
      </x:c>
      <x:c r="L11" t="n">
        <x:v>-46.7333</x:v>
      </x:c>
      <x:c r="M11" t="n">
        <x:v>413</x:v>
      </x:c>
    </x:row>
    <x:row r="12">
      <x:c r="A12" t="n">
        <x:v>11</x:v>
      </x:c>
      <x:c r="B12" s="10" t="n">
        <x:v>46175.583333333336</x:v>
      </x:c>
      <x:c r="C12" t="str">
        <x:v>Antena Principal</x:v>
      </x:c>
      <x:c r="D12" t="str">
        <x:v>SEN-001</x:v>
      </x:c>
      <x:c r="E12" s="12" t="n">
        <x:v>27.7</x:v>
      </x:c>
      <x:c r="F12" s="14" t="n">
        <x:v>73</x:v>
      </x:c>
      <x:c r="G12" s="14" t="n">
        <x:v>92</x:v>
      </x:c>
      <x:c r="H12" s="14" t="n">
        <x:v>0.44</x:v>
      </x:c>
      <x:c r="I12" s="14" t="n">
        <x:v>91</x:v>
      </x:c>
      <x:c r="J12" t="str">
        <x:v>Operacional</x:v>
      </x:c>
      <x:c r="K12" t="n">
        <x:v>-23.4405</x:v>
      </x:c>
      <x:c r="L12" t="n">
        <x:v>-46.7433</x:v>
      </x:c>
      <x:c r="M12" t="n">
        <x:v>413.5</x:v>
      </x:c>
    </x:row>
    <x:row r="13">
      <x:c r="A13" t="n">
        <x:v>12</x:v>
      </x:c>
      <x:c r="B13" s="10" t="n">
        <x:v>46175.708333333336</x:v>
      </x:c>
      <x:c r="C13" t="str">
        <x:v>Navegacao</x:v>
      </x:c>
      <x:c r="D13" t="str">
        <x:v>SEN-002</x:v>
      </x:c>
      <x:c r="E13" s="12" t="n">
        <x:v>32.8</x:v>
      </x:c>
      <x:c r="F13" s="14" t="n">
        <x:v>51</x:v>
      </x:c>
      <x:c r="G13" s="14" t="n">
        <x:v>83</x:v>
      </x:c>
      <x:c r="H13" s="14" t="n">
        <x:v>0.81</x:v>
      </x:c>
      <x:c r="I13" s="14" t="n">
        <x:v>74</x:v>
      </x:c>
      <x:c r="J13" t="str">
        <x:v>Atencao</x:v>
      </x:c>
      <x:c r="K13" t="n">
        <x:v>-23.4305</x:v>
      </x:c>
      <x:c r="L13" t="n">
        <x:v>-46.753299999999996</x:v>
      </x:c>
      <x:c r="M13" t="n">
        <x:v>414</x:v>
      </x:c>
    </x:row>
    <x:row r="14">
      <x:c r="A14" t="n">
        <x:v>13</x:v>
      </x:c>
      <x:c r="B14" s="10" t="n">
        <x:v>46175.833333333336</x:v>
      </x:c>
      <x:c r="C14" t="str">
        <x:v>Habitat</x:v>
      </x:c>
      <x:c r="D14" t="str">
        <x:v>SEN-003</x:v>
      </x:c>
      <x:c r="E14" s="12" t="n">
        <x:v>39.1</x:v>
      </x:c>
      <x:c r="F14" s="14" t="n">
        <x:v>27</x:v>
      </x:c>
      <x:c r="G14" s="14" t="n">
        <x:v>66</x:v>
      </x:c>
      <x:c r="H14" s="14" t="n">
        <x:v>1.34</x:v>
      </x:c>
      <x:c r="I14" s="14" t="n">
        <x:v>54</x:v>
      </x:c>
      <x:c r="J14" t="str">
        <x:v>Critico</x:v>
      </x:c>
      <x:c r="K14" t="n">
        <x:v>-23.4205</x:v>
      </x:c>
      <x:c r="L14" t="n">
        <x:v>-46.7633</x:v>
      </x:c>
      <x:c r="M14" t="n">
        <x:v>414.5</x:v>
      </x:c>
    </x:row>
    <x:row r="15">
      <x:c r="A15" t="n">
        <x:v>14</x:v>
      </x:c>
      <x:c r="B15" s="10" t="n">
        <x:v>46175.958333333336</x:v>
      </x:c>
      <x:c r="C15" t="str">
        <x:v>Painel Solar</x:v>
      </x:c>
      <x:c r="D15" t="str">
        <x:v>SEN-004</x:v>
      </x:c>
      <x:c r="E15" s="12" t="n">
        <x:v>28.4</x:v>
      </x:c>
      <x:c r="F15" s="14" t="n">
        <x:v>76</x:v>
      </x:c>
      <x:c r="G15" s="14" t="n">
        <x:v>93</x:v>
      </x:c>
      <x:c r="H15" s="14" t="n">
        <x:v>0.39</x:v>
      </x:c>
      <x:c r="I15" s="14" t="n">
        <x:v>90</x:v>
      </x:c>
      <x:c r="J15" t="str">
        <x:v>Operacional</x:v>
      </x:c>
      <x:c r="K15" t="n">
        <x:v>-23.4105</x:v>
      </x:c>
      <x:c r="L15" t="n">
        <x:v>-46.7733</x:v>
      </x:c>
      <x:c r="M15" t="n">
        <x:v>415</x:v>
      </x:c>
    </x:row>
    <x:row r="16">
      <x:c r="A16" t="n">
        <x:v>15</x:v>
      </x:c>
      <x:c r="B16" s="10" t="n">
        <x:v>46176.083333333336</x:v>
      </x:c>
      <x:c r="C16" t="str">
        <x:v>Suporte de Vida</x:v>
      </x:c>
      <x:c r="D16" t="str">
        <x:v>SEN-005</x:v>
      </x:c>
      <x:c r="E16" s="12" t="n">
        <x:v>24.9</x:v>
      </x:c>
      <x:c r="F16" s="14" t="n">
        <x:v>90</x:v>
      </x:c>
      <x:c r="G16" s="14" t="n">
        <x:v>97</x:v>
      </x:c>
      <x:c r="H16" s="14" t="n">
        <x:v>0.25</x:v>
      </x:c>
      <x:c r="I16" s="14" t="n">
        <x:v>98</x:v>
      </x:c>
      <x:c r="J16" t="str">
        <x:v>Operacional</x:v>
      </x:c>
      <x:c r="K16" t="n">
        <x:v>-23.4005</x:v>
      </x:c>
      <x:c r="L16" t="n">
        <x:v>-46.7833</x:v>
      </x:c>
      <x:c r="M16" t="n">
        <x:v>415.5</x:v>
      </x:c>
    </x:row>
    <x:row r="17">
      <x:c r="A17" t="n">
        <x:v>16</x:v>
      </x:c>
      <x:c r="B17" s="10" t="n">
        <x:v>46176.208333333336</x:v>
      </x:c>
      <x:c r="C17" t="str">
        <x:v>Escudo Externo</x:v>
      </x:c>
      <x:c r="D17" t="str">
        <x:v>SEN-001</x:v>
      </x:c>
      <x:c r="E17" s="12" t="n">
        <x:v>35.6</x:v>
      </x:c>
      <x:c r="F17" s="14" t="n">
        <x:v>45</x:v>
      </x:c>
      <x:c r="G17" s="14" t="n">
        <x:v>79</x:v>
      </x:c>
      <x:c r="H17" s="14" t="n">
        <x:v>0.96</x:v>
      </x:c>
      <x:c r="I17" s="14" t="n">
        <x:v>71</x:v>
      </x:c>
      <x:c r="J17" t="str">
        <x:v>Atencao</x:v>
      </x:c>
      <x:c r="K17" t="n">
        <x:v>-23.3905</x:v>
      </x:c>
      <x:c r="L17" t="n">
        <x:v>-46.793299999999995</x:v>
      </x:c>
      <x:c r="M17" t="n">
        <x:v>416</x:v>
      </x:c>
    </x:row>
    <x:row r="18">
      <x:c r="A18" t="n">
        <x:v>17</x:v>
      </x:c>
      <x:c r="B18" s="10" t="n">
        <x:v>46176.333333333336</x:v>
      </x:c>
      <x:c r="C18" t="str">
        <x:v>Antena Principal</x:v>
      </x:c>
      <x:c r="D18" t="str">
        <x:v>SEN-002</x:v>
      </x:c>
      <x:c r="E18" s="12" t="n">
        <x:v>37.9</x:v>
      </x:c>
      <x:c r="F18" s="14" t="n">
        <x:v>31</x:v>
      </x:c>
      <x:c r="G18" s="14" t="n">
        <x:v>72</x:v>
      </x:c>
      <x:c r="H18" s="14" t="n">
        <x:v>1.18</x:v>
      </x:c>
      <x:c r="I18" s="14" t="n">
        <x:v>63</x:v>
      </x:c>
      <x:c r="J18" t="str">
        <x:v>Atencao</x:v>
      </x:c>
      <x:c r="K18" t="n">
        <x:v>-23.380499999999998</x:v>
      </x:c>
      <x:c r="L18" t="n">
        <x:v>-46.8033</x:v>
      </x:c>
      <x:c r="M18" t="n">
        <x:v>416.5</x:v>
      </x:c>
    </x:row>
    <x:row r="19">
      <x:c r="A19" t="n">
        <x:v>18</x:v>
      </x:c>
      <x:c r="B19" s="10" t="n">
        <x:v>46176.458333333336</x:v>
      </x:c>
      <x:c r="C19" t="str">
        <x:v>Navegacao</x:v>
      </x:c>
      <x:c r="D19" t="str">
        <x:v>SEN-003</x:v>
      </x:c>
      <x:c r="E19" s="12" t="n">
        <x:v>26.8</x:v>
      </x:c>
      <x:c r="F19" s="14" t="n">
        <x:v>82</x:v>
      </x:c>
      <x:c r="G19" s="14" t="n">
        <x:v>95</x:v>
      </x:c>
      <x:c r="H19" s="14" t="n">
        <x:v>0.33</x:v>
      </x:c>
      <x:c r="I19" s="14" t="n">
        <x:v>94</x:v>
      </x:c>
      <x:c r="J19" t="str">
        <x:v>Operacional</x:v>
      </x:c>
      <x:c r="K19" t="n">
        <x:v>-23.3705</x:v>
      </x:c>
      <x:c r="L19" t="n">
        <x:v>-46.8133</x:v>
      </x:c>
      <x:c r="M19" t="n">
        <x:v>417</x:v>
      </x:c>
    </x:row>
    <x:row r="20">
      <x:c r="A20" t="n">
        <x:v>19</x:v>
      </x:c>
      <x:c r="B20" s="10" t="n">
        <x:v>46176.583333333336</x:v>
      </x:c>
      <x:c r="C20" t="str">
        <x:v>Habitat</x:v>
      </x:c>
      <x:c r="D20" t="str">
        <x:v>SEN-004</x:v>
      </x:c>
      <x:c r="E20" s="12" t="n">
        <x:v>33.9</x:v>
      </x:c>
      <x:c r="F20" s="14" t="n">
        <x:v>49</x:v>
      </x:c>
      <x:c r="G20" s="14" t="n">
        <x:v>80</x:v>
      </x:c>
      <x:c r="H20" s="14" t="n">
        <x:v>0.88</x:v>
      </x:c>
      <x:c r="I20" s="14" t="n">
        <x:v>76</x:v>
      </x:c>
      <x:c r="J20" t="str">
        <x:v>Atencao</x:v>
      </x:c>
      <x:c r="K20" t="n">
        <x:v>-23.3605</x:v>
      </x:c>
      <x:c r="L20" t="n">
        <x:v>-46.823299999999996</x:v>
      </x:c>
      <x:c r="M20" t="n">
        <x:v>417.5</x:v>
      </x:c>
    </x:row>
    <x:row r="21">
      <x:c r="A21" t="n">
        <x:v>20</x:v>
      </x:c>
      <x:c r="B21" s="10" t="n">
        <x:v>46176.708333333336</x:v>
      </x:c>
      <x:c r="C21" t="str">
        <x:v>Painel Solar</x:v>
      </x:c>
      <x:c r="D21" t="str">
        <x:v>SEN-005</x:v>
      </x:c>
      <x:c r="E21" s="12" t="n">
        <x:v>29.4</x:v>
      </x:c>
      <x:c r="F21" s="14" t="n">
        <x:v>65</x:v>
      </x:c>
      <x:c r="G21" s="14" t="n">
        <x:v>90</x:v>
      </x:c>
      <x:c r="H21" s="14" t="n">
        <x:v>0.52</x:v>
      </x:c>
      <x:c r="I21" s="14" t="n">
        <x:v>86</x:v>
      </x:c>
      <x:c r="J21" t="str">
        <x:v>Operacional</x:v>
      </x:c>
      <x:c r="K21" t="n">
        <x:v>-23.3505</x:v>
      </x:c>
      <x:c r="L21" t="n">
        <x:v>-46.8333</x:v>
      </x:c>
      <x:c r="M21" t="n">
        <x:v>418</x:v>
      </x:c>
    </x:row>
  </x:sheetData>
  <x:conditionalFormatting sqref="J2:J21">
    <x:cfRule type="expression" dxfId="0" priority="1">
      <x:formula>$J2="Critico"</x:formula>
    </x:cfRule>
    <x:cfRule type="expression" dxfId="1" priority="2">
      <x:formula>$J2="Atencao"</x:formula>
    </x:cfRule>
    <x:cfRule type="expression" dxfId="2" priority="3">
      <x:formula>$J2="Operacional"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e81dc9f57184a1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.809999942779541" hidden="0" customWidth="1"/>
    <x:col min="2" max="2" width="10.630000114440918" hidden="0" customWidth="1"/>
    <x:col min="3" max="3" width="13.0600004196167" hidden="0" customWidth="1"/>
    <x:col min="4" max="4" width="6.590000152587891" hidden="0" customWidth="1"/>
    <x:col min="6" max="6" width="12.649999618530273" hidden="0" customWidth="1"/>
    <x:col min="7" max="7" width="21.530000686645508" hidden="0" customWidth="1"/>
  </x:cols>
  <x:sheetData>
    <x:row r="1">
      <x:c r="A1" s="18" t="str">
        <x:v>sensor_id</x:v>
      </x:c>
      <x:c r="B1" s="18" t="str">
        <x:v>tipo</x:v>
      </x:c>
      <x:c r="C1" s="18" t="str">
        <x:v>modulo</x:v>
      </x:c>
      <x:c r="D1" s="18" t="str">
        <x:v>unidade</x:v>
      </x:c>
      <x:c r="F1" s="18" t="str">
        <x:v>codigo_modulo</x:v>
      </x:c>
      <x:c r="G1" s="18" t="str">
        <x:v>descricao</x:v>
      </x:c>
    </x:row>
    <x:row r="2">
      <x:c r="A2" t="str">
        <x:v>SEN-001</x:v>
      </x:c>
      <x:c r="B2" t="str">
        <x:v>Temperatura</x:v>
      </x:c>
      <x:c r="C2" t="str">
        <x:v>Habitat</x:v>
      </x:c>
      <x:c r="D2" t="str">
        <x:v>Celsius</x:v>
      </x:c>
      <x:c r="F2" t="str">
        <x:v>MOD-HAB</x:v>
      </x:c>
      <x:c r="G2" t="str">
        <x:v>Modulo de habitacao</x:v>
      </x:c>
    </x:row>
    <x:row r="3">
      <x:c r="A3" t="str">
        <x:v>SEN-002</x:v>
      </x:c>
      <x:c r="B3" t="str">
        <x:v>Energia</x:v>
      </x:c>
      <x:c r="C3" t="str">
        <x:v>Painel Solar</x:v>
      </x:c>
      <x:c r="D3" t="str">
        <x:v>%</x:v>
      </x:c>
      <x:c r="F3" t="str">
        <x:v>MOD-ENE</x:v>
      </x:c>
      <x:c r="G3" t="str">
        <x:v>Modulo de energia</x:v>
      </x:c>
    </x:row>
    <x:row r="4">
      <x:c r="A4" t="str">
        <x:v>SEN-003</x:v>
      </x:c>
      <x:c r="B4" t="str">
        <x:v>Oxigenio</x:v>
      </x:c>
      <x:c r="C4" t="str">
        <x:v>Suporte de Vida</x:v>
      </x:c>
      <x:c r="D4" t="str">
        <x:v>%</x:v>
      </x:c>
      <x:c r="F4" t="str">
        <x:v>MOD-SUP</x:v>
      </x:c>
      <x:c r="G4" t="str">
        <x:v>Modulo de suporte de vida</x:v>
      </x:c>
    </x:row>
    <x:row r="5">
      <x:c r="A5" t="str">
        <x:v>SEN-004</x:v>
      </x:c>
      <x:c r="B5" t="str">
        <x:v>Radiacao</x:v>
      </x:c>
      <x:c r="C5" t="str">
        <x:v>Escudo Externo</x:v>
      </x:c>
      <x:c r="D5" t="str">
        <x:v>mSv</x:v>
      </x:c>
      <x:c r="F5" t="str">
        <x:v>MOD-COM</x:v>
      </x:c>
      <x:c r="G5" t="str">
        <x:v>Modulo de comunicacao</x:v>
      </x:c>
    </x:row>
    <x:row r="6">
      <x:c r="A6" t="str">
        <x:v>SEN-005</x:v>
      </x:c>
      <x:c r="B6" t="str">
        <x:v>Comunicacao</x:v>
      </x:c>
      <x:c r="C6" t="str">
        <x:v>Antena Principal</x:v>
      </x:c>
      <x:c r="D6" t="str">
        <x:v>%</x:v>
      </x:c>
    </x:row>
  </x:sheetData>
  <x:pageMargins left="0.7" right="0.7" top="0.75" bottom="0.75" header="0.3" footer="0.3"/>
  <x:tableParts count="2">
    <x:tablePart xmlns:r="http://schemas.openxmlformats.org/officeDocument/2006/relationships" r:id="R288e97b27b7344bb"/>
    <x:tablePart xmlns:r="http://schemas.openxmlformats.org/officeDocument/2006/relationships" r:id="Ra7c307aa40674da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26" t="str">
        <x:v>Como usar a base ficticia</x:v>
      </x:c>
    </x:row>
    <x:row r="2">
      <x:c r="A2" s="27" t="str">
        <x:v>1. Salve esta planilha na mesma pasta do arquivo sistema_missao_orion_x.py.</x:v>
      </x:c>
    </x:row>
    <x:row r="3">
      <x:c r="A3" s="27" t="str">
        <x:v>2. Execute o codigo Python.</x:v>
      </x:c>
    </x:row>
    <x:row r="4">
      <x:c r="A4" s="27" t="str">
        <x:v>3. O sistema vai ler a aba Dados_Missao.</x:v>
      </x:c>
    </x:row>
    <x:row r="5">
      <x:c r="A5" s="27" t="str">
        <x:v>4. O codigo cria novas colunas, faz filtros, consome API e exporta relatorio_final_orion_x.xlsx.</x:v>
      </x:c>
    </x:row>
    <x:row r="6">
      <x:c r="A6" s="27" t="str">
        <x:v>5. Use os resultados do terminal e o Excel final como prints no relatorio.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.290000915527344" hidden="0" customWidth="1"/>
    <x:col min="2" max="2" width="18.56999969482422" hidden="0" customWidth="1"/>
  </x:cols>
  <x:sheetData>
    <x:row r="1">
      <x:c r="A1" s="32" t="str">
        <x:v>Indicador</x:v>
      </x:c>
      <x:c r="B1" s="32" t="str">
        <x:v>Formula/Valor na base</x:v>
      </x:c>
    </x:row>
    <x:row r="2">
      <x:c r="A2" t="str">
        <x:v>Total de registros</x:v>
      </x:c>
      <x:c r="B2" t="n">
        <x:f>COUNTA(Dados_Missao!A2:A21)</x:f>
        <x:v>20</x:v>
      </x:c>
    </x:row>
    <x:row r="3">
      <x:c r="A3" t="str">
        <x:v>Temperatura media</x:v>
      </x:c>
      <x:c r="B3" t="n">
        <x:f>AVERAGE(Dados_Missao!E2:E21)</x:f>
        <x:v>31.349999999999994</x:v>
      </x:c>
    </x:row>
    <x:row r="4">
      <x:c r="A4" t="str">
        <x:v>Energia media</x:v>
      </x:c>
      <x:c r="B4" t="n">
        <x:f>AVERAGE(Dados_Missao!F2:F21)</x:f>
        <x:v>58.85</x:v>
      </x:c>
    </x:row>
    <x:row r="5">
      <x:c r="A5" t="str">
        <x:v>Oxigenio medio</x:v>
      </x:c>
      <x:c r="B5" t="n">
        <x:f>AVERAGE(Dados_Missao!G2:G21)</x:f>
        <x:v>85</x:v>
      </x:c>
    </x:row>
    <x:row r="6">
      <x:c r="A6" t="str">
        <x:v>Maior radiacao</x:v>
      </x:c>
      <x:c r="B6" t="n">
        <x:f>MAX(Dados_Missao!H2:H21)</x:f>
        <x:v>1.34</x:v>
      </x:c>
    </x:row>
    <x:row r="7">
      <x:c r="A7" t="str">
        <x:v>Menor comunicacao</x:v>
      </x:c>
      <x:c r="B7" t="n">
        <x:f>MIN(Dados_Missao!I2:I21)</x:f>
        <x:v>54</x:v>
      </x:c>
    </x:row>
  </x:sheetData>
  <x:pageMargins left="0.7" right="0.7" top="0.75" bottom="0.75" header="0.3" footer="0.3"/>
  <x:drawing xmlns:r="http://schemas.openxmlformats.org/officeDocument/2006/relationships" r:id="R26f972e05eef4376"/>
</x:worksheet>
</file>